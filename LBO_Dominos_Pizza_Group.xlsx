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Deal Structure" sheetId="4" state="visible" r:id="rId4"/>
    <sheet xmlns:r="http://schemas.openxmlformats.org/officeDocument/2006/relationships"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"/>
    <numFmt numFmtId="165" formatCode="(£#,##0.0)"/>
  </numFmts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1F3864"/>
      <sz val="10"/>
    </font>
    <font>
      <b val="1"/>
      <color rgb="00FFFFFF"/>
      <sz val="10"/>
    </font>
    <font>
      <b val="1"/>
      <color rgb="00000000"/>
      <sz val="10"/>
    </font>
    <font>
      <i val="1"/>
      <color rgb="00666666"/>
      <sz val="9"/>
    </font>
    <font>
      <sz val="9"/>
    </font>
    <font>
      <b val="1"/>
      <color rgb="00FFFFFF"/>
      <sz val="13"/>
    </font>
    <font>
      <color rgb="00000000"/>
      <sz val="10"/>
    </font>
    <font>
      <i val="1"/>
      <color rgb="00000000"/>
      <sz val="10"/>
    </font>
    <font>
      <b val="1"/>
      <color rgb="00FFFFFF"/>
      <sz val="12"/>
    </font>
    <font>
      <i val="1"/>
      <color rgb="00555555"/>
      <sz val="9"/>
    </font>
    <font>
      <i val="1"/>
      <color rgb="00444444"/>
      <sz val="9"/>
    </font>
    <font>
      <i val="1"/>
      <color rgb="00555555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49" fontId="9" fillId="7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0" customHeight="1"/>
    <row r="3" ht="40" customHeight="1">
      <c r="B3" s="1" t="inlineStr">
        <is>
          <t>LBO MODEL — DOMINO'S PIZZA GROUP PLC</t>
        </is>
      </c>
    </row>
    <row r="4">
      <c r="B4" s="2" t="inlineStr">
        <is>
          <t>Private Equity Acquisition Analysis  |  Illustrative – Based on Public Filings</t>
        </is>
      </c>
    </row>
    <row r="5" ht="18" customHeight="1">
      <c r="B5" s="3" t="inlineStr">
        <is>
          <t>Mrinal Bhargava  |  June 2026</t>
        </is>
      </c>
    </row>
    <row r="6" ht="18" customHeight="1"/>
    <row r="7" ht="18" customHeight="1">
      <c r="B7" s="4" t="inlineStr">
        <is>
          <t>KEY TRANSACTION METRICS</t>
        </is>
      </c>
      <c r="C7" s="5" t="n"/>
      <c r="D7" s="5" t="n"/>
      <c r="E7" s="5" t="n"/>
      <c r="F7" s="6" t="n"/>
    </row>
    <row r="8" ht="18" customHeight="1">
      <c r="B8" s="7" t="inlineStr">
        <is>
          <t>Target Company</t>
        </is>
      </c>
      <c r="C8" s="8" t="inlineStr">
        <is>
          <t>Domino's Pizza Group PLC</t>
        </is>
      </c>
      <c r="D8" s="9" t="inlineStr">
        <is>
          <t>AIM-listed franchise operator</t>
        </is>
      </c>
    </row>
    <row r="9" ht="18" customHeight="1">
      <c r="B9" s="7" t="inlineStr">
        <is>
          <t>Entry EV / EBITDA</t>
        </is>
      </c>
      <c r="C9" s="8" t="inlineStr">
        <is>
          <t>9.0x</t>
        </is>
      </c>
      <c r="D9" s="9" t="inlineStr">
        <is>
          <t>Entry EV: £1,043m</t>
        </is>
      </c>
    </row>
    <row r="10" ht="18" customHeight="1">
      <c r="B10" s="7" t="inlineStr">
        <is>
          <t>LTM EBITDA at Entry</t>
        </is>
      </c>
      <c r="C10" s="8" t="inlineStr">
        <is>
          <t>£115.9m</t>
        </is>
      </c>
      <c r="D10" s="9" t="inlineStr">
        <is>
          <t>FY2023A (illustrative)</t>
        </is>
      </c>
    </row>
    <row r="11" ht="18" customHeight="1">
      <c r="B11" s="7" t="inlineStr">
        <is>
          <t>Total Debt (at close)</t>
        </is>
      </c>
      <c r="C11" s="8" t="inlineStr">
        <is>
          <t>£492.6m</t>
        </is>
      </c>
      <c r="D11" s="9" t="inlineStr">
        <is>
          <t>Leverage: 4.3x EBITDA</t>
        </is>
      </c>
    </row>
    <row r="12" ht="18" customHeight="1">
      <c r="B12" s="7" t="inlineStr">
        <is>
          <t>PE Equity</t>
        </is>
      </c>
      <c r="C12" s="8" t="inlineStr">
        <is>
          <t>£581.3m</t>
        </is>
      </c>
      <c r="D12" s="9" t="inlineStr">
        <is>
          <t>Initial equity investment</t>
        </is>
      </c>
    </row>
    <row r="13" ht="18" customHeight="1">
      <c r="B13" s="7" t="inlineStr">
        <is>
          <t>Hold Period</t>
        </is>
      </c>
      <c r="C13" s="8" t="inlineStr">
        <is>
          <t>5 years</t>
        </is>
      </c>
      <c r="D13" s="9" t="inlineStr">
        <is>
          <t>Target: 5-year hold to exit</t>
        </is>
      </c>
    </row>
    <row r="14" ht="18" customHeight="1"/>
    <row r="15" ht="18" customHeight="1">
      <c r="B15" s="4" t="inlineStr">
        <is>
          <t>PROJECTED RETURNS</t>
        </is>
      </c>
      <c r="C15" s="5" t="n"/>
      <c r="D15" s="5" t="n"/>
      <c r="E15" s="5" t="n"/>
      <c r="F15" s="6" t="n"/>
    </row>
    <row r="16" ht="18" customHeight="1">
      <c r="B16" s="7" t="inlineStr">
        <is>
          <t>Base Case IRR</t>
        </is>
      </c>
      <c r="C16" s="8" t="inlineStr">
        <is>
          <t>18.6%</t>
        </is>
      </c>
      <c r="D16" s="9" t="inlineStr">
        <is>
          <t>MOIC: 2.35x  |  Exit: 9.5x EBITDA</t>
        </is>
      </c>
    </row>
    <row r="17" ht="18" customHeight="1">
      <c r="B17" s="7" t="inlineStr">
        <is>
          <t>Mgmt Case IRR</t>
        </is>
      </c>
      <c r="C17" s="8" t="inlineStr">
        <is>
          <t>28.2%</t>
        </is>
      </c>
      <c r="D17" s="9" t="inlineStr">
        <is>
          <t>MOIC: 3.46x  |  Exit: 10.5x EBITDA</t>
        </is>
      </c>
    </row>
    <row r="18" ht="18" customHeight="1">
      <c r="B18" s="7" t="inlineStr">
        <is>
          <t>PE Target IRR</t>
        </is>
      </c>
      <c r="C18" s="8" t="inlineStr">
        <is>
          <t>20–25%</t>
        </is>
      </c>
      <c r="D18" s="9" t="inlineStr">
        <is>
          <t>Goldman / KKR typical return threshold</t>
        </is>
      </c>
    </row>
    <row r="19" ht="18" customHeight="1"/>
    <row r="20" ht="18" customHeight="1">
      <c r="B20" s="4" t="inlineStr">
        <is>
          <t>WORKBOOK CONTENTS</t>
        </is>
      </c>
      <c r="C20" s="5" t="n"/>
      <c r="D20" s="5" t="n"/>
      <c r="E20" s="5" t="n"/>
      <c r="F20" s="6" t="n"/>
    </row>
    <row r="21" ht="18" customHeight="1">
      <c r="B21" s="10" t="inlineStr">
        <is>
          <t>Assumptions</t>
        </is>
      </c>
      <c r="C21" s="11" t="inlineStr">
        <is>
          <t>All key operating and transaction inputs</t>
        </is>
      </c>
    </row>
    <row r="22">
      <c r="B22" s="10" t="inlineStr">
        <is>
          <t>Operating Model</t>
        </is>
      </c>
      <c r="C22" s="11" t="inlineStr">
        <is>
          <t>3-year historical + 5-year projected (Base &amp; Management Case)</t>
        </is>
      </c>
    </row>
    <row r="23">
      <c r="B23" s="10" t="inlineStr">
        <is>
          <t>Deal Structure</t>
        </is>
      </c>
      <c r="C23" s="11" t="inlineStr">
        <is>
          <t>Sources &amp; Uses + Annual Debt Schedule</t>
        </is>
      </c>
    </row>
    <row r="24">
      <c r="B24" s="10" t="inlineStr">
        <is>
          <t>Returns</t>
        </is>
      </c>
      <c r="C24" s="11" t="inlineStr">
        <is>
          <t>IRR, MOIC, return decomposition, sensitivity tables</t>
        </is>
      </c>
    </row>
  </sheetData>
  <mergeCells count="19">
    <mergeCell ref="B4:F4"/>
    <mergeCell ref="B7:F7"/>
    <mergeCell ref="D11:F11"/>
    <mergeCell ref="D13:F13"/>
    <mergeCell ref="C23:F23"/>
    <mergeCell ref="B3:F3"/>
    <mergeCell ref="D17:F17"/>
    <mergeCell ref="D16:F16"/>
    <mergeCell ref="D12:F12"/>
    <mergeCell ref="D18:F18"/>
    <mergeCell ref="D9:F9"/>
    <mergeCell ref="C24:F24"/>
    <mergeCell ref="D8:F8"/>
    <mergeCell ref="D10:F10"/>
    <mergeCell ref="C22:F22"/>
    <mergeCell ref="B20:F20"/>
    <mergeCell ref="B15:F15"/>
    <mergeCell ref="B5:F5"/>
    <mergeCell ref="C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32" customWidth="1" min="4" max="4"/>
    <col width="2" customWidth="1" min="5" max="5"/>
  </cols>
  <sheetData>
    <row r="1">
      <c r="B1" s="12" t="inlineStr">
        <is>
          <t>ASSUMPTIONS</t>
        </is>
      </c>
      <c r="C1" s="5" t="n"/>
      <c r="D1" s="6" t="n"/>
    </row>
    <row r="3">
      <c r="B3" s="4" t="inlineStr">
        <is>
          <t>A. OPERATING ASSUMPTIONS</t>
        </is>
      </c>
      <c r="C3" s="5" t="n"/>
      <c r="D3" s="6" t="n"/>
    </row>
    <row r="4">
      <c r="B4" s="13" t="inlineStr">
        <is>
          <t>Assumption</t>
        </is>
      </c>
      <c r="C4" s="13" t="inlineStr">
        <is>
          <t>Value</t>
        </is>
      </c>
      <c r="D4" s="13" t="inlineStr">
        <is>
          <t>Notes</t>
        </is>
      </c>
    </row>
    <row r="5">
      <c r="B5" s="14" t="inlineStr">
        <is>
          <t>Base Case Revenue Growth (p.a.)</t>
        </is>
      </c>
      <c r="C5" s="15" t="inlineStr">
        <is>
          <t>5.0%</t>
        </is>
      </c>
      <c r="D5" s="16" t="inlineStr">
        <is>
          <t>Conservative; UK food delivery market maturity</t>
        </is>
      </c>
    </row>
    <row r="6">
      <c r="B6" s="14" t="inlineStr">
        <is>
          <t>Management Case Revenue Growth (p.a.)</t>
        </is>
      </c>
      <c r="C6" s="15" t="inlineStr">
        <is>
          <t>7.0%</t>
        </is>
      </c>
      <c r="D6" s="16" t="inlineStr">
        <is>
          <t>With PE operational initiatives &amp; new store openings</t>
        </is>
      </c>
    </row>
    <row r="7">
      <c r="B7" s="14" t="inlineStr">
        <is>
          <t>Base Case EBITDA Margin Improvement (p.a.)</t>
        </is>
      </c>
      <c r="C7" s="15" t="inlineStr">
        <is>
          <t>0.3%</t>
        </is>
      </c>
      <c r="D7" s="16" t="inlineStr">
        <is>
          <t>+30bps p.a. from cost efficiency / franchise mix</t>
        </is>
      </c>
    </row>
    <row r="8">
      <c r="B8" s="14" t="inlineStr">
        <is>
          <t>Mgmt Case EBITDA Margin Improvement (p.a.)</t>
        </is>
      </c>
      <c r="C8" s="15" t="inlineStr">
        <is>
          <t>0.8%</t>
        </is>
      </c>
      <c r="D8" s="16" t="inlineStr">
        <is>
          <t>+80bps p.a. with procurement savings &amp; tech investment</t>
        </is>
      </c>
    </row>
    <row r="9">
      <c r="B9" s="14" t="inlineStr">
        <is>
          <t>D&amp;A (£m, flat)</t>
        </is>
      </c>
      <c r="C9" s="15" t="inlineStr">
        <is>
          <t>£25m</t>
        </is>
      </c>
      <c r="D9" s="16" t="inlineStr">
        <is>
          <t>Assumes stable asset base; franchise model low CapEx</t>
        </is>
      </c>
    </row>
    <row r="10">
      <c r="B10" s="14" t="inlineStr">
        <is>
          <t>CapEx (£m, flat)</t>
        </is>
      </c>
      <c r="C10" s="15" t="inlineStr">
        <is>
          <t>£18m</t>
        </is>
      </c>
      <c r="D10" s="16" t="inlineStr">
        <is>
          <t>Maintenance CapEx only — franchise model</t>
        </is>
      </c>
    </row>
    <row r="11">
      <c r="B11" s="14" t="inlineStr">
        <is>
          <t>Corporate Tax Rate</t>
        </is>
      </c>
      <c r="C11" s="15" t="inlineStr">
        <is>
          <t>25%</t>
        </is>
      </c>
      <c r="D11" s="16" t="inlineStr">
        <is>
          <t>UK corporation tax rate (April 2023 onwards)</t>
        </is>
      </c>
    </row>
    <row r="13">
      <c r="B13" s="4" t="inlineStr">
        <is>
          <t>B. TRANSACTION ASSUMPTIONS</t>
        </is>
      </c>
      <c r="C13" s="5" t="n"/>
      <c r="D13" s="6" t="n"/>
    </row>
    <row r="14">
      <c r="B14" s="13" t="inlineStr">
        <is>
          <t>Assumption</t>
        </is>
      </c>
      <c r="C14" s="13" t="inlineStr">
        <is>
          <t>Value</t>
        </is>
      </c>
      <c r="D14" s="13" t="inlineStr">
        <is>
          <t>Notes</t>
        </is>
      </c>
    </row>
    <row r="15">
      <c r="B15" s="14" t="inlineStr">
        <is>
          <t>LTM Revenue at Entry (£m)</t>
        </is>
      </c>
      <c r="C15" s="15" t="inlineStr">
        <is>
          <t>£644.0m</t>
        </is>
      </c>
      <c r="D15" s="16" t="inlineStr">
        <is>
          <t>FY2023A — from public filings (illustrative)</t>
        </is>
      </c>
    </row>
    <row r="16">
      <c r="B16" s="14" t="inlineStr">
        <is>
          <t>LTM EBITDA at Entry (£m)</t>
        </is>
      </c>
      <c r="C16" s="15" t="inlineStr">
        <is>
          <t>£115.9m</t>
        </is>
      </c>
      <c r="D16" s="16" t="inlineStr">
        <is>
          <t>FY2023A pre-IFRS 16 (illustrative)</t>
        </is>
      </c>
    </row>
    <row r="17">
      <c r="B17" s="14" t="inlineStr">
        <is>
          <t>LTM EBITDA Margin</t>
        </is>
      </c>
      <c r="C17" s="15" t="inlineStr">
        <is>
          <t>18.0%</t>
        </is>
      </c>
      <c r="D17" s="16" t="inlineStr">
        <is>
          <t>Franchise royalties drive high margin</t>
        </is>
      </c>
    </row>
    <row r="18">
      <c r="B18" s="14" t="inlineStr">
        <is>
          <t>Entry EV / EBITDA Multiple</t>
        </is>
      </c>
      <c r="C18" s="15" t="inlineStr">
        <is>
          <t>9.0x</t>
        </is>
      </c>
      <c r="D18" s="16" t="inlineStr">
        <is>
          <t>In line with comparable franchise LBO transactions</t>
        </is>
      </c>
    </row>
    <row r="19">
      <c r="B19" s="14" t="inlineStr">
        <is>
          <t>Entry Enterprise Value (£m)</t>
        </is>
      </c>
      <c r="C19" s="15" t="inlineStr">
        <is>
          <t>£1,043.1m</t>
        </is>
      </c>
      <c r="D19" s="16">
        <f> 9.0x × £115.9m</f>
        <v/>
      </c>
    </row>
    <row r="20">
      <c r="B20" s="14" t="inlineStr">
        <is>
          <t>Transaction Fees</t>
        </is>
      </c>
      <c r="C20" s="15" t="inlineStr">
        <is>
          <t>2.0%</t>
        </is>
      </c>
      <c r="D20" s="16" t="inlineStr">
        <is>
          <t>Legal, advisory, and due diligence fees</t>
        </is>
      </c>
    </row>
    <row r="21">
      <c r="B21" s="14" t="inlineStr">
        <is>
          <t>Debt Financing Fees</t>
        </is>
      </c>
      <c r="C21" s="15" t="inlineStr">
        <is>
          <t>2.0%</t>
        </is>
      </c>
      <c r="D21" s="16" t="inlineStr">
        <is>
          <t>Underwriting and arrangement fees on debt</t>
        </is>
      </c>
    </row>
    <row r="22">
      <c r="B22" s="14" t="inlineStr">
        <is>
          <t>Hold Period (years)</t>
        </is>
      </c>
      <c r="C22" s="15" t="inlineStr">
        <is>
          <t>5</t>
        </is>
      </c>
      <c r="D22" s="16" t="inlineStr">
        <is>
          <t>Standard PE hold; target exit Year 5</t>
        </is>
      </c>
    </row>
    <row r="23">
      <c r="B23" s="14" t="inlineStr">
        <is>
          <t>Base Case Exit EV/EBITDA</t>
        </is>
      </c>
      <c r="C23" s="15" t="inlineStr">
        <is>
          <t>9.5x</t>
        </is>
      </c>
      <c r="D23" s="16" t="inlineStr">
        <is>
          <t>Conservative — flat re-rating</t>
        </is>
      </c>
    </row>
    <row r="24">
      <c r="B24" s="14" t="inlineStr">
        <is>
          <t>Management Case Exit EV/EBITDA</t>
        </is>
      </c>
      <c r="C24" s="15" t="inlineStr">
        <is>
          <t>10.5x</t>
        </is>
      </c>
      <c r="D24" s="16" t="inlineStr">
        <is>
          <t>Modest multiple expansion for quality execution</t>
        </is>
      </c>
    </row>
    <row r="26">
      <c r="B26" s="4" t="inlineStr">
        <is>
          <t>C. DEBT PRICING ASSUMPTIONS</t>
        </is>
      </c>
      <c r="C26" s="5" t="n"/>
      <c r="D26" s="6" t="n"/>
    </row>
    <row r="27">
      <c r="B27" s="13" t="inlineStr">
        <is>
          <t>Assumption</t>
        </is>
      </c>
      <c r="C27" s="13" t="inlineStr">
        <is>
          <t>Value</t>
        </is>
      </c>
      <c r="D27" s="13" t="inlineStr">
        <is>
          <t>Notes</t>
        </is>
      </c>
    </row>
    <row r="28">
      <c r="B28" s="14" t="inlineStr">
        <is>
          <t>Senior Debt — Leverage Multiple</t>
        </is>
      </c>
      <c r="C28" s="15" t="inlineStr">
        <is>
          <t>3.50x EBITDA</t>
        </is>
      </c>
      <c r="D28" s="16" t="inlineStr">
        <is>
          <t>£405.7m at close</t>
        </is>
      </c>
    </row>
    <row r="29">
      <c r="B29" s="14" t="inlineStr">
        <is>
          <t>Senior Debt — Interest Rate</t>
        </is>
      </c>
      <c r="C29" s="15" t="inlineStr">
        <is>
          <t>8.75%</t>
        </is>
      </c>
      <c r="D29" s="16" t="inlineStr">
        <is>
          <t>SONIA (5.25%) + 350bps spread</t>
        </is>
      </c>
    </row>
    <row r="30">
      <c r="B30" s="14" t="inlineStr">
        <is>
          <t>Mezzanine Debt — Leverage Multiple</t>
        </is>
      </c>
      <c r="C30" s="15" t="inlineStr">
        <is>
          <t>0.75x EBITDA</t>
        </is>
      </c>
      <c r="D30" s="16" t="inlineStr">
        <is>
          <t>£86.9m at close</t>
        </is>
      </c>
    </row>
    <row r="31">
      <c r="B31" s="14" t="inlineStr">
        <is>
          <t>Mezzanine Debt — Interest Rate</t>
        </is>
      </c>
      <c r="C31" s="15" t="inlineStr">
        <is>
          <t>12.50%</t>
        </is>
      </c>
      <c r="D31" s="16" t="inlineStr">
        <is>
          <t>Fixed rate; subordinated to senior</t>
        </is>
      </c>
    </row>
    <row r="32">
      <c r="B32" s="14" t="inlineStr">
        <is>
          <t>Total Leverage</t>
        </is>
      </c>
      <c r="C32" s="15" t="inlineStr">
        <is>
          <t>4.25x EBITDA</t>
        </is>
      </c>
      <c r="D32" s="16" t="inlineStr">
        <is>
          <t>£492.6m total debt</t>
        </is>
      </c>
    </row>
    <row r="33">
      <c r="B33" s="14" t="inlineStr">
        <is>
          <t>Cash Sweep</t>
        </is>
      </c>
      <c r="C33" s="15" t="inlineStr">
        <is>
          <t>100% FCF</t>
        </is>
      </c>
      <c r="D33" s="16" t="inlineStr">
        <is>
          <t>All free cash flow sweeps debt; senior priority</t>
        </is>
      </c>
    </row>
    <row r="34">
      <c r="B34" s="14" t="inlineStr">
        <is>
          <t>Modigliani-Miller Tax Shield (PV)</t>
        </is>
      </c>
      <c r="C34" s="15" t="inlineStr">
        <is>
          <t>£123.2m</t>
        </is>
      </c>
      <c r="D34" s="16">
        <f> 25% × £492.6m debt</f>
        <v/>
      </c>
    </row>
  </sheetData>
  <mergeCells count="4">
    <mergeCell ref="B26:D26"/>
    <mergeCell ref="B13:D13"/>
    <mergeCell ref="B1:D1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>
      <c r="B1" s="17" t="inlineStr">
        <is>
          <t>OPERATING MODEL — DOMINO'S PIZZA GROUP PLC</t>
        </is>
      </c>
      <c r="C1" s="5" t="n"/>
      <c r="D1" s="5" t="n"/>
      <c r="E1" s="5" t="n"/>
      <c r="F1" s="5" t="n"/>
      <c r="G1" s="5" t="n"/>
      <c r="H1" s="5" t="n"/>
      <c r="I1" s="5" t="n"/>
      <c r="J1" s="6" t="n"/>
    </row>
    <row r="2">
      <c r="B2" s="13" t="inlineStr">
        <is>
          <t>£m</t>
        </is>
      </c>
      <c r="C2" s="18" t="inlineStr">
        <is>
          <t>FY2021A</t>
        </is>
      </c>
      <c r="D2" s="18" t="inlineStr">
        <is>
          <t>FY2022A</t>
        </is>
      </c>
      <c r="E2" s="15" t="inlineStr">
        <is>
          <t>FY2023A (LTM)</t>
        </is>
      </c>
      <c r="F2" s="15" t="inlineStr">
        <is>
          <t>FY2024E</t>
        </is>
      </c>
      <c r="G2" s="15" t="inlineStr">
        <is>
          <t>FY2025E</t>
        </is>
      </c>
      <c r="H2" s="15" t="inlineStr">
        <is>
          <t>FY2026E</t>
        </is>
      </c>
      <c r="I2" s="15" t="inlineStr">
        <is>
          <t>FY2027E</t>
        </is>
      </c>
      <c r="J2" s="15" t="inlineStr">
        <is>
          <t>FY2028E</t>
        </is>
      </c>
    </row>
    <row r="3">
      <c r="B3" s="4" t="inlineStr">
        <is>
          <t>BASE CASE (Revenue Growth: 5.0% p.a.  |  Margin Improvement: +30bps p.a.)</t>
        </is>
      </c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B4" s="19" t="inlineStr">
        <is>
          <t>Revenue (£m)</t>
        </is>
      </c>
      <c r="C4" s="20" t="n">
        <v>584</v>
      </c>
      <c r="D4" s="20" t="n">
        <v>612</v>
      </c>
      <c r="E4" s="20" t="n">
        <v>644</v>
      </c>
      <c r="F4" s="21" t="n">
        <v>676.2</v>
      </c>
      <c r="G4" s="21" t="n">
        <v>710</v>
      </c>
      <c r="H4" s="21" t="n">
        <v>745.5</v>
      </c>
      <c r="I4" s="21" t="n">
        <v>782.8</v>
      </c>
      <c r="J4" s="21" t="n">
        <v>821.9</v>
      </c>
    </row>
    <row r="5">
      <c r="B5" s="14" t="inlineStr">
        <is>
          <t xml:space="preserve">  Growth %</t>
        </is>
      </c>
      <c r="C5" s="22" t="inlineStr">
        <is>
          <t>-</t>
        </is>
      </c>
      <c r="D5" s="22" t="inlineStr">
        <is>
          <t>4.8%</t>
        </is>
      </c>
      <c r="E5" s="22" t="inlineStr">
        <is>
          <t>5.2%</t>
        </is>
      </c>
      <c r="F5" s="23" t="inlineStr">
        <is>
          <t>5.0%</t>
        </is>
      </c>
      <c r="G5" s="23" t="inlineStr">
        <is>
          <t>5.0%</t>
        </is>
      </c>
      <c r="H5" s="23" t="inlineStr">
        <is>
          <t>5.0%</t>
        </is>
      </c>
      <c r="I5" s="23" t="inlineStr">
        <is>
          <t>5.0%</t>
        </is>
      </c>
      <c r="J5" s="23" t="inlineStr">
        <is>
          <t>5.0%</t>
        </is>
      </c>
    </row>
    <row r="6">
      <c r="B6" s="19" t="inlineStr">
        <is>
          <t>EBITDA (£m)</t>
        </is>
      </c>
      <c r="C6" s="20" t="n">
        <v>108</v>
      </c>
      <c r="D6" s="20" t="n">
        <v>110.8</v>
      </c>
      <c r="E6" s="20" t="n">
        <v>115.9</v>
      </c>
      <c r="F6" s="21" t="n">
        <v>123.7</v>
      </c>
      <c r="G6" s="21" t="n">
        <v>132</v>
      </c>
      <c r="H6" s="21" t="n">
        <v>140.9</v>
      </c>
      <c r="I6" s="21" t="n">
        <v>150.3</v>
      </c>
      <c r="J6" s="21" t="n">
        <v>160.2</v>
      </c>
    </row>
    <row r="7">
      <c r="B7" s="14" t="inlineStr">
        <is>
          <t xml:space="preserve">  EBITDA Margin %</t>
        </is>
      </c>
      <c r="C7" s="22" t="inlineStr">
        <is>
          <t>18.5%</t>
        </is>
      </c>
      <c r="D7" s="22" t="inlineStr">
        <is>
          <t>18.1%</t>
        </is>
      </c>
      <c r="E7" s="22" t="inlineStr">
        <is>
          <t>18.0%</t>
        </is>
      </c>
      <c r="F7" s="23" t="inlineStr">
        <is>
          <t>18.3%</t>
        </is>
      </c>
      <c r="G7" s="23" t="inlineStr">
        <is>
          <t>18.6%</t>
        </is>
      </c>
      <c r="H7" s="23" t="inlineStr">
        <is>
          <t>18.9%</t>
        </is>
      </c>
      <c r="I7" s="23" t="inlineStr">
        <is>
          <t>19.2%</t>
        </is>
      </c>
      <c r="J7" s="23" t="inlineStr">
        <is>
          <t>19.5%</t>
        </is>
      </c>
    </row>
    <row r="8">
      <c r="B8" s="14" t="inlineStr">
        <is>
          <t>D&amp;A (£m)</t>
        </is>
      </c>
      <c r="C8" s="24" t="n">
        <v>22</v>
      </c>
      <c r="D8" s="24" t="n">
        <v>23</v>
      </c>
      <c r="E8" s="24" t="n">
        <v>25</v>
      </c>
      <c r="F8" s="25" t="n">
        <v>25</v>
      </c>
      <c r="G8" s="25" t="n">
        <v>25</v>
      </c>
      <c r="H8" s="25" t="n">
        <v>25</v>
      </c>
      <c r="I8" s="25" t="n">
        <v>25</v>
      </c>
      <c r="J8" s="25" t="n">
        <v>25</v>
      </c>
    </row>
    <row r="9">
      <c r="B9" s="19" t="inlineStr">
        <is>
          <t>EBIT (£m)</t>
        </is>
      </c>
      <c r="C9" s="20" t="n">
        <v>86</v>
      </c>
      <c r="D9" s="20" t="n">
        <v>87.8</v>
      </c>
      <c r="E9" s="20" t="n">
        <v>90.90000000000001</v>
      </c>
      <c r="F9" s="21" t="n">
        <v>98.7</v>
      </c>
      <c r="G9" s="21" t="n">
        <v>107</v>
      </c>
      <c r="H9" s="21" t="n">
        <v>115.9</v>
      </c>
      <c r="I9" s="21" t="n">
        <v>125.3</v>
      </c>
      <c r="J9" s="21" t="n">
        <v>135.2</v>
      </c>
    </row>
    <row r="10">
      <c r="B10" s="4" t="inlineStr">
        <is>
          <t>FREE CASH FLOW BRIDGE (Base Case)</t>
        </is>
      </c>
      <c r="C10" s="5" t="n"/>
      <c r="D10" s="5" t="n"/>
      <c r="E10" s="5" t="n"/>
      <c r="F10" s="5" t="n"/>
      <c r="G10" s="5" t="n"/>
      <c r="H10" s="5" t="n"/>
      <c r="I10" s="5" t="n"/>
      <c r="J10" s="6" t="n"/>
    </row>
    <row r="11">
      <c r="B11" s="19" t="inlineStr">
        <is>
          <t>EBITDA (£m)</t>
        </is>
      </c>
      <c r="C11" s="20" t="n">
        <v>108</v>
      </c>
      <c r="D11" s="20" t="n">
        <v>110.8</v>
      </c>
      <c r="E11" s="20" t="n">
        <v>115.9</v>
      </c>
      <c r="F11" s="21" t="n">
        <v>123.7</v>
      </c>
      <c r="G11" s="21" t="n">
        <v>132</v>
      </c>
      <c r="H11" s="21" t="n">
        <v>140.9</v>
      </c>
      <c r="I11" s="21" t="n">
        <v>150.3</v>
      </c>
      <c r="J11" s="21" t="n">
        <v>160.2</v>
      </c>
    </row>
    <row r="12">
      <c r="B12" s="14" t="inlineStr">
        <is>
          <t xml:space="preserve">  Less: CapEx</t>
        </is>
      </c>
      <c r="C12" s="26" t="n">
        <v>15</v>
      </c>
      <c r="D12" s="26" t="n">
        <v>17</v>
      </c>
      <c r="E12" s="26" t="n">
        <v>18</v>
      </c>
      <c r="F12" s="27" t="n">
        <v>18</v>
      </c>
      <c r="G12" s="27" t="n">
        <v>18</v>
      </c>
      <c r="H12" s="27" t="n">
        <v>18</v>
      </c>
      <c r="I12" s="27" t="n">
        <v>18</v>
      </c>
      <c r="J12" s="27" t="n">
        <v>18</v>
      </c>
    </row>
    <row r="13">
      <c r="B13" s="14" t="inlineStr">
        <is>
          <t xml:space="preserve">  Less: Cash Tax</t>
        </is>
      </c>
      <c r="C13" s="26" t="n">
        <v>21.5</v>
      </c>
      <c r="D13" s="26" t="n">
        <v>21.9</v>
      </c>
      <c r="E13" s="26" t="n">
        <v>22.7</v>
      </c>
      <c r="F13" s="27" t="n">
        <v>13.1</v>
      </c>
      <c r="G13" s="27" t="n">
        <v>16.1</v>
      </c>
      <c r="H13" s="27" t="n">
        <v>19.6</v>
      </c>
      <c r="I13" s="27" t="n">
        <v>23.4</v>
      </c>
      <c r="J13" s="27" t="n">
        <v>27.5</v>
      </c>
    </row>
    <row r="14">
      <c r="B14" s="14" t="inlineStr">
        <is>
          <t xml:space="preserve">  Less: Cash Interest</t>
        </is>
      </c>
      <c r="C14" s="26" t="inlineStr">
        <is>
          <t>-</t>
        </is>
      </c>
      <c r="D14" s="26" t="inlineStr">
        <is>
          <t>-</t>
        </is>
      </c>
      <c r="E14" s="26" t="inlineStr">
        <is>
          <t>-</t>
        </is>
      </c>
      <c r="F14" s="27" t="n">
        <v>46.4</v>
      </c>
      <c r="G14" s="27" t="n">
        <v>42.4</v>
      </c>
      <c r="H14" s="27" t="n">
        <v>37.5</v>
      </c>
      <c r="I14" s="27" t="n">
        <v>31.7</v>
      </c>
      <c r="J14" s="27" t="n">
        <v>25</v>
      </c>
    </row>
    <row r="15">
      <c r="B15" s="19" t="inlineStr">
        <is>
          <t>Levered Free Cash Flow (£m)</t>
        </is>
      </c>
      <c r="C15" s="20" t="inlineStr">
        <is>
          <t>-</t>
        </is>
      </c>
      <c r="D15" s="20" t="inlineStr">
        <is>
          <t>-</t>
        </is>
      </c>
      <c r="E15" s="20" t="inlineStr">
        <is>
          <t>-</t>
        </is>
      </c>
      <c r="F15" s="28" t="n">
        <v>46.2</v>
      </c>
      <c r="G15" s="28" t="n">
        <v>55.5</v>
      </c>
      <c r="H15" s="28" t="n">
        <v>65.8</v>
      </c>
      <c r="I15" s="28" t="n">
        <v>77.2</v>
      </c>
      <c r="J15" s="28" t="n">
        <v>89.7</v>
      </c>
    </row>
    <row r="17">
      <c r="B17" s="4" t="inlineStr">
        <is>
          <t>MANAGEMENT CASE (Revenue Growth: 7.0% p.a.  |  Margin Improvement: +80bps p.a.)</t>
        </is>
      </c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B18" s="19" t="inlineStr">
        <is>
          <t>Revenue (£m)</t>
        </is>
      </c>
      <c r="C18" s="20" t="n">
        <v>584</v>
      </c>
      <c r="D18" s="20" t="n">
        <v>612</v>
      </c>
      <c r="E18" s="20" t="n">
        <v>644</v>
      </c>
      <c r="F18" s="21" t="n">
        <v>689.1</v>
      </c>
      <c r="G18" s="21" t="n">
        <v>737.3</v>
      </c>
      <c r="H18" s="21" t="n">
        <v>788.9</v>
      </c>
      <c r="I18" s="21" t="n">
        <v>844.2</v>
      </c>
      <c r="J18" s="21" t="n">
        <v>903.2</v>
      </c>
    </row>
    <row r="19">
      <c r="B19" s="14" t="inlineStr">
        <is>
          <t xml:space="preserve">  Growth %</t>
        </is>
      </c>
      <c r="C19" s="22" t="inlineStr">
        <is>
          <t>-</t>
        </is>
      </c>
      <c r="D19" s="22" t="inlineStr">
        <is>
          <t>4.8%</t>
        </is>
      </c>
      <c r="E19" s="22" t="inlineStr">
        <is>
          <t>5.2%</t>
        </is>
      </c>
      <c r="F19" s="23" t="inlineStr">
        <is>
          <t>7.0%</t>
        </is>
      </c>
      <c r="G19" s="23" t="inlineStr">
        <is>
          <t>7.0%</t>
        </is>
      </c>
      <c r="H19" s="23" t="inlineStr">
        <is>
          <t>7.0%</t>
        </is>
      </c>
      <c r="I19" s="23" t="inlineStr">
        <is>
          <t>7.0%</t>
        </is>
      </c>
      <c r="J19" s="23" t="inlineStr">
        <is>
          <t>7.0%</t>
        </is>
      </c>
    </row>
    <row r="20">
      <c r="B20" s="19" t="inlineStr">
        <is>
          <t>EBITDA (£m)</t>
        </is>
      </c>
      <c r="C20" s="20" t="n">
        <v>108</v>
      </c>
      <c r="D20" s="20" t="n">
        <v>110.8</v>
      </c>
      <c r="E20" s="20" t="n">
        <v>115.9</v>
      </c>
      <c r="F20" s="21" t="n">
        <v>129.5</v>
      </c>
      <c r="G20" s="21" t="n">
        <v>144.5</v>
      </c>
      <c r="H20" s="21" t="n">
        <v>160.9</v>
      </c>
      <c r="I20" s="21" t="n">
        <v>178.9</v>
      </c>
      <c r="J20" s="21" t="n">
        <v>198.7</v>
      </c>
    </row>
    <row r="21">
      <c r="B21" s="14" t="inlineStr">
        <is>
          <t xml:space="preserve">  EBITDA Margin %</t>
        </is>
      </c>
      <c r="C21" s="22" t="inlineStr">
        <is>
          <t>18.5%</t>
        </is>
      </c>
      <c r="D21" s="22" t="inlineStr">
        <is>
          <t>18.1%</t>
        </is>
      </c>
      <c r="E21" s="22" t="inlineStr">
        <is>
          <t>18.0%</t>
        </is>
      </c>
      <c r="F21" s="23" t="inlineStr">
        <is>
          <t>18.8%</t>
        </is>
      </c>
      <c r="G21" s="23" t="inlineStr">
        <is>
          <t>19.6%</t>
        </is>
      </c>
      <c r="H21" s="23" t="inlineStr">
        <is>
          <t>20.4%</t>
        </is>
      </c>
      <c r="I21" s="23" t="inlineStr">
        <is>
          <t>21.2%</t>
        </is>
      </c>
      <c r="J21" s="23" t="inlineStr">
        <is>
          <t>22.0%</t>
        </is>
      </c>
    </row>
    <row r="22">
      <c r="B22" s="14" t="inlineStr">
        <is>
          <t>D&amp;A (£m)</t>
        </is>
      </c>
      <c r="C22" s="24" t="n">
        <v>22</v>
      </c>
      <c r="D22" s="24" t="n">
        <v>23</v>
      </c>
      <c r="E22" s="24" t="n">
        <v>25</v>
      </c>
      <c r="F22" s="25" t="n">
        <v>25</v>
      </c>
      <c r="G22" s="25" t="n">
        <v>25</v>
      </c>
      <c r="H22" s="25" t="n">
        <v>25</v>
      </c>
      <c r="I22" s="25" t="n">
        <v>25</v>
      </c>
      <c r="J22" s="25" t="n">
        <v>25</v>
      </c>
    </row>
    <row r="23">
      <c r="B23" s="19" t="inlineStr">
        <is>
          <t>EBIT (£m)</t>
        </is>
      </c>
      <c r="C23" s="20" t="n">
        <v>86</v>
      </c>
      <c r="D23" s="20" t="n">
        <v>87.8</v>
      </c>
      <c r="E23" s="20" t="n">
        <v>90.90000000000001</v>
      </c>
      <c r="F23" s="21" t="n">
        <v>104.5</v>
      </c>
      <c r="G23" s="21" t="n">
        <v>119.5</v>
      </c>
      <c r="H23" s="21" t="n">
        <v>135.9</v>
      </c>
      <c r="I23" s="21" t="n">
        <v>153.9</v>
      </c>
      <c r="J23" s="21" t="n">
        <v>173.7</v>
      </c>
    </row>
    <row r="24">
      <c r="B24" s="4" t="inlineStr">
        <is>
          <t>FREE CASH FLOW BRIDGE (Management Case)</t>
        </is>
      </c>
      <c r="C24" s="5" t="n"/>
      <c r="D24" s="5" t="n"/>
      <c r="E24" s="5" t="n"/>
      <c r="F24" s="5" t="n"/>
      <c r="G24" s="5" t="n"/>
      <c r="H24" s="5" t="n"/>
      <c r="I24" s="5" t="n"/>
      <c r="J24" s="6" t="n"/>
    </row>
    <row r="25">
      <c r="B25" s="19" t="inlineStr">
        <is>
          <t>EBITDA (£m)</t>
        </is>
      </c>
      <c r="C25" s="20" t="n">
        <v>108</v>
      </c>
      <c r="D25" s="20" t="n">
        <v>110.8</v>
      </c>
      <c r="E25" s="20" t="n">
        <v>115.9</v>
      </c>
      <c r="F25" s="21" t="n">
        <v>129.5</v>
      </c>
      <c r="G25" s="21" t="n">
        <v>144.5</v>
      </c>
      <c r="H25" s="21" t="n">
        <v>160.9</v>
      </c>
      <c r="I25" s="21" t="n">
        <v>178.9</v>
      </c>
      <c r="J25" s="21" t="n">
        <v>198.7</v>
      </c>
    </row>
    <row r="26">
      <c r="B26" s="14" t="inlineStr">
        <is>
          <t xml:space="preserve">  Less: CapEx</t>
        </is>
      </c>
      <c r="C26" s="26" t="n">
        <v>15</v>
      </c>
      <c r="D26" s="26" t="n">
        <v>17</v>
      </c>
      <c r="E26" s="26" t="n">
        <v>18</v>
      </c>
      <c r="F26" s="27" t="n">
        <v>18</v>
      </c>
      <c r="G26" s="27" t="n">
        <v>18</v>
      </c>
      <c r="H26" s="27" t="n">
        <v>18</v>
      </c>
      <c r="I26" s="27" t="n">
        <v>18</v>
      </c>
      <c r="J26" s="27" t="n">
        <v>18</v>
      </c>
    </row>
    <row r="27">
      <c r="B27" s="14" t="inlineStr">
        <is>
          <t xml:space="preserve">  Less: Cash Tax</t>
        </is>
      </c>
      <c r="C27" s="26" t="n">
        <v>21.5</v>
      </c>
      <c r="D27" s="26" t="n">
        <v>21.9</v>
      </c>
      <c r="E27" s="26" t="n">
        <v>22.7</v>
      </c>
      <c r="F27" s="27" t="n">
        <v>14.5</v>
      </c>
      <c r="G27" s="27" t="n">
        <v>19.4</v>
      </c>
      <c r="H27" s="27" t="n">
        <v>24.9</v>
      </c>
      <c r="I27" s="27" t="n">
        <v>31.2</v>
      </c>
      <c r="J27" s="27" t="n">
        <v>38.3</v>
      </c>
    </row>
    <row r="28">
      <c r="B28" s="14" t="inlineStr">
        <is>
          <t xml:space="preserve">  Less: Cash Interest</t>
        </is>
      </c>
      <c r="C28" s="26" t="inlineStr">
        <is>
          <t>-</t>
        </is>
      </c>
      <c r="D28" s="26" t="inlineStr">
        <is>
          <t>-</t>
        </is>
      </c>
      <c r="E28" s="26" t="inlineStr">
        <is>
          <t>-</t>
        </is>
      </c>
      <c r="F28" s="27" t="n">
        <v>46.4</v>
      </c>
      <c r="G28" s="27" t="n">
        <v>42</v>
      </c>
      <c r="H28" s="27" t="n">
        <v>36.3</v>
      </c>
      <c r="I28" s="27" t="n">
        <v>29.1</v>
      </c>
      <c r="J28" s="27" t="n">
        <v>20.3</v>
      </c>
    </row>
    <row r="29">
      <c r="B29" s="19" t="inlineStr">
        <is>
          <t>Levered Free Cash Flow (£m)</t>
        </is>
      </c>
      <c r="C29" s="20" t="inlineStr">
        <is>
          <t>-</t>
        </is>
      </c>
      <c r="D29" s="20" t="inlineStr">
        <is>
          <t>-</t>
        </is>
      </c>
      <c r="E29" s="20" t="inlineStr">
        <is>
          <t>-</t>
        </is>
      </c>
      <c r="F29" s="28" t="n">
        <v>50.6</v>
      </c>
      <c r="G29" s="28" t="n">
        <v>65.09999999999999</v>
      </c>
      <c r="H29" s="28" t="n">
        <v>81.7</v>
      </c>
      <c r="I29" s="28" t="n">
        <v>100.6</v>
      </c>
      <c r="J29" s="28" t="n">
        <v>122.1</v>
      </c>
    </row>
  </sheetData>
  <mergeCells count="5">
    <mergeCell ref="B3:J3"/>
    <mergeCell ref="B10:J10"/>
    <mergeCell ref="B17:J17"/>
    <mergeCell ref="B1:J1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>
      <c r="B1" s="17" t="inlineStr">
        <is>
          <t>DEAL STRUCTURE — SOURCES &amp; USES  |  DEBT SCHEDULE</t>
        </is>
      </c>
      <c r="C1" s="5" t="n"/>
      <c r="D1" s="5" t="n"/>
      <c r="E1" s="5" t="n"/>
      <c r="F1" s="5" t="n"/>
      <c r="G1" s="6" t="n"/>
    </row>
    <row r="3">
      <c r="B3" s="4" t="inlineStr">
        <is>
          <t>SOURCES</t>
        </is>
      </c>
      <c r="C3" s="5" t="n"/>
      <c r="D3" s="6" t="n"/>
      <c r="E3" s="4" t="inlineStr">
        <is>
          <t>USES</t>
        </is>
      </c>
      <c r="F3" s="5" t="n"/>
      <c r="G3" s="6" t="n"/>
    </row>
    <row r="4">
      <c r="B4" s="13" t="inlineStr">
        <is>
          <t>Item</t>
        </is>
      </c>
      <c r="C4" s="13" t="inlineStr">
        <is>
          <t>£m</t>
        </is>
      </c>
      <c r="D4" s="13" t="inlineStr">
        <is>
          <t>% Total</t>
        </is>
      </c>
      <c r="E4" s="13" t="inlineStr">
        <is>
          <t>Item</t>
        </is>
      </c>
      <c r="F4" s="13" t="inlineStr">
        <is>
          <t>£m</t>
        </is>
      </c>
      <c r="G4" s="13" t="inlineStr">
        <is>
          <t>% Total</t>
        </is>
      </c>
    </row>
    <row r="5">
      <c r="B5" s="14" t="inlineStr">
        <is>
          <t>Senior Secured Debt</t>
        </is>
      </c>
      <c r="C5" s="25" t="n">
        <v>405.7</v>
      </c>
      <c r="D5" s="29" t="inlineStr">
        <is>
          <t>37.8%</t>
        </is>
      </c>
      <c r="E5" s="14" t="inlineStr">
        <is>
          <t>Equity Purchase Price</t>
        </is>
      </c>
      <c r="F5" s="25" t="n">
        <v>1043.1</v>
      </c>
      <c r="G5" s="29" t="inlineStr">
        <is>
          <t>97.1%</t>
        </is>
      </c>
    </row>
    <row r="6">
      <c r="B6" s="14" t="inlineStr">
        <is>
          <t>Mezzanine Debt</t>
        </is>
      </c>
      <c r="C6" s="25" t="n">
        <v>86.90000000000001</v>
      </c>
      <c r="D6" s="29" t="inlineStr">
        <is>
          <t>8.1%</t>
        </is>
      </c>
      <c r="E6" s="14" t="inlineStr">
        <is>
          <t>Transaction Fees (2.0%)</t>
        </is>
      </c>
      <c r="F6" s="25" t="n">
        <v>20.9</v>
      </c>
      <c r="G6" s="29" t="inlineStr">
        <is>
          <t>1.9%</t>
        </is>
      </c>
    </row>
    <row r="7">
      <c r="B7" s="14" t="inlineStr">
        <is>
          <t>PE Equity</t>
        </is>
      </c>
      <c r="C7" s="25" t="n">
        <v>581.3</v>
      </c>
      <c r="D7" s="29" t="inlineStr">
        <is>
          <t>54.1%</t>
        </is>
      </c>
      <c r="E7" s="14" t="inlineStr">
        <is>
          <t>Financing Fees (2.0%)</t>
        </is>
      </c>
      <c r="F7" s="25" t="n">
        <v>9.9</v>
      </c>
      <c r="G7" s="29" t="inlineStr">
        <is>
          <t>0.9%</t>
        </is>
      </c>
    </row>
    <row r="8">
      <c r="B8" s="30" t="inlineStr">
        <is>
          <t>Total Sources</t>
        </is>
      </c>
      <c r="C8" s="31" t="n">
        <v>1073.9</v>
      </c>
      <c r="D8" s="8" t="inlineStr">
        <is>
          <t>100.0%</t>
        </is>
      </c>
      <c r="E8" s="30" t="inlineStr">
        <is>
          <t>Total Uses</t>
        </is>
      </c>
      <c r="F8" s="31" t="n">
        <v>1073.9</v>
      </c>
      <c r="G8" s="8" t="inlineStr">
        <is>
          <t>100.0%</t>
        </is>
      </c>
    </row>
    <row r="10">
      <c r="B10" s="4" t="inlineStr">
        <is>
          <t>MODIGLIANI-MILLER: TAX SHIELD ANALYSIS</t>
        </is>
      </c>
      <c r="C10" s="5" t="n"/>
      <c r="D10" s="5" t="n"/>
      <c r="E10" s="5" t="n"/>
      <c r="F10" s="5" t="n"/>
      <c r="G10" s="6" t="n"/>
    </row>
    <row r="11">
      <c r="B11" s="14" t="inlineStr">
        <is>
          <t>Total Debt at Close</t>
        </is>
      </c>
      <c r="C11" s="32" t="inlineStr">
        <is>
          <t>£492.6m</t>
        </is>
      </c>
      <c r="D11" s="33" t="inlineStr"/>
    </row>
    <row r="12">
      <c r="B12" s="14" t="inlineStr">
        <is>
          <t>Corporate Tax Rate</t>
        </is>
      </c>
      <c r="C12" s="32" t="inlineStr">
        <is>
          <t>25%</t>
        </is>
      </c>
      <c r="D12" s="33" t="inlineStr"/>
    </row>
    <row r="13">
      <c r="B13" s="14" t="inlineStr">
        <is>
          <t>PV of Tax Shield (= Tax × Debt)</t>
        </is>
      </c>
      <c r="C13" s="32" t="inlineStr">
        <is>
          <t>£123.2m</t>
        </is>
      </c>
      <c r="D13" s="33" t="inlineStr">
        <is>
          <t>High leverage justified by MM — tax shield adds direct firm value</t>
        </is>
      </c>
    </row>
    <row r="14">
      <c r="B14" s="14" t="inlineStr">
        <is>
          <t>Unlevered Firm Value (Entry EV)</t>
        </is>
      </c>
      <c r="C14" s="32" t="inlineStr">
        <is>
          <t>£1,043.1m</t>
        </is>
      </c>
      <c r="D14" s="33" t="inlineStr"/>
    </row>
    <row r="15">
      <c r="B15" s="19" t="inlineStr">
        <is>
          <t>APV (= Unlevered + Tax Shield)</t>
        </is>
      </c>
      <c r="C15" s="15" t="inlineStr">
        <is>
          <t>£1,166.2m</t>
        </is>
      </c>
      <c r="D15" s="33" t="inlineStr">
        <is>
          <t>Adjusted Present Value — MM Proposition with taxes</t>
        </is>
      </c>
    </row>
    <row r="17">
      <c r="B17" s="4" t="inlineStr">
        <is>
          <t>DEBT SCHEDULE — BASE CASE</t>
        </is>
      </c>
      <c r="C17" s="5" t="n"/>
      <c r="D17" s="5" t="n"/>
      <c r="E17" s="5" t="n"/>
      <c r="F17" s="5" t="n"/>
      <c r="G17" s="5" t="n"/>
      <c r="H17" s="6" t="n"/>
    </row>
    <row r="18">
      <c r="B18" s="13" t="inlineStr"/>
      <c r="C18" s="34" t="inlineStr">
        <is>
          <t>Y1 (FY2024E)</t>
        </is>
      </c>
      <c r="D18" s="34" t="inlineStr">
        <is>
          <t>Y2 (FY2025E)</t>
        </is>
      </c>
      <c r="E18" s="34" t="inlineStr">
        <is>
          <t>Y3 (FY2026E)</t>
        </is>
      </c>
      <c r="F18" s="34" t="inlineStr">
        <is>
          <t>Y4 (FY2027E)</t>
        </is>
      </c>
      <c r="G18" s="34" t="inlineStr">
        <is>
          <t>Y5 (FY2028E)</t>
        </is>
      </c>
    </row>
    <row r="19">
      <c r="B19" s="4" t="inlineStr">
        <is>
          <t>— SENIOR SECURED DEBT —</t>
        </is>
      </c>
      <c r="C19" s="5" t="n"/>
      <c r="D19" s="5" t="n"/>
      <c r="E19" s="5" t="n"/>
      <c r="F19" s="5" t="n"/>
      <c r="G19" s="6" t="n"/>
    </row>
    <row r="20">
      <c r="B20" s="14" t="inlineStr">
        <is>
          <t>Opening Balance</t>
        </is>
      </c>
      <c r="C20" s="25" t="n">
        <v>405.7</v>
      </c>
      <c r="D20" s="25" t="n">
        <v>359.5</v>
      </c>
      <c r="E20" s="25" t="n">
        <v>304</v>
      </c>
      <c r="F20" s="25" t="n">
        <v>238.2</v>
      </c>
      <c r="G20" s="25" t="n">
        <v>161</v>
      </c>
    </row>
    <row r="21">
      <c r="B21" s="35" t="inlineStr">
        <is>
          <t>Cash Interest (8.75%)</t>
        </is>
      </c>
      <c r="C21" s="36" t="n">
        <v>35.5</v>
      </c>
      <c r="D21" s="36" t="n">
        <v>31.5</v>
      </c>
      <c r="E21" s="36" t="n">
        <v>26.6</v>
      </c>
      <c r="F21" s="36" t="n">
        <v>20.8</v>
      </c>
      <c r="G21" s="36" t="n">
        <v>14.1</v>
      </c>
    </row>
    <row r="22">
      <c r="B22" s="37" t="inlineStr">
        <is>
          <t>FCF Sweep (Repayment)</t>
        </is>
      </c>
      <c r="C22" s="38" t="n">
        <v>46.2</v>
      </c>
      <c r="D22" s="38" t="n">
        <v>55.5</v>
      </c>
      <c r="E22" s="38" t="n">
        <v>65.8</v>
      </c>
      <c r="F22" s="38" t="n">
        <v>77.2</v>
      </c>
      <c r="G22" s="38" t="n">
        <v>89.7</v>
      </c>
    </row>
    <row r="23">
      <c r="B23" s="10" t="inlineStr">
        <is>
          <t>Closing Balance</t>
        </is>
      </c>
      <c r="C23" s="39" t="n">
        <v>359.5</v>
      </c>
      <c r="D23" s="39" t="n">
        <v>304</v>
      </c>
      <c r="E23" s="39" t="n">
        <v>238.2</v>
      </c>
      <c r="F23" s="39" t="n">
        <v>161</v>
      </c>
      <c r="G23" s="39" t="n">
        <v>71.3</v>
      </c>
    </row>
    <row r="24">
      <c r="B24" s="4" t="inlineStr">
        <is>
          <t>— MEZZANINE DEBT —</t>
        </is>
      </c>
      <c r="C24" s="5" t="n"/>
      <c r="D24" s="5" t="n"/>
      <c r="E24" s="5" t="n"/>
      <c r="F24" s="5" t="n"/>
      <c r="G24" s="6" t="n"/>
    </row>
    <row r="25">
      <c r="B25" s="14" t="inlineStr">
        <is>
          <t>Opening Balance</t>
        </is>
      </c>
      <c r="C25" s="25" t="n">
        <v>86.90000000000001</v>
      </c>
      <c r="D25" s="25" t="n">
        <v>86.90000000000001</v>
      </c>
      <c r="E25" s="25" t="n">
        <v>86.90000000000001</v>
      </c>
      <c r="F25" s="25" t="n">
        <v>86.90000000000001</v>
      </c>
      <c r="G25" s="25" t="n">
        <v>86.90000000000001</v>
      </c>
    </row>
    <row r="26">
      <c r="B26" s="35" t="inlineStr">
        <is>
          <t>Cash Interest (12.50%)</t>
        </is>
      </c>
      <c r="C26" s="36" t="n">
        <v>10.9</v>
      </c>
      <c r="D26" s="36" t="n">
        <v>10.9</v>
      </c>
      <c r="E26" s="36" t="n">
        <v>10.9</v>
      </c>
      <c r="F26" s="36" t="n">
        <v>10.9</v>
      </c>
      <c r="G26" s="36" t="n">
        <v>10.9</v>
      </c>
    </row>
    <row r="27">
      <c r="B27" s="37" t="inlineStr">
        <is>
          <t>FCF Sweep (Repayment)</t>
        </is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</row>
    <row r="28">
      <c r="B28" s="10" t="inlineStr">
        <is>
          <t>Closing Balance</t>
        </is>
      </c>
      <c r="C28" s="39" t="n">
        <v>86.90000000000001</v>
      </c>
      <c r="D28" s="39" t="n">
        <v>86.90000000000001</v>
      </c>
      <c r="E28" s="39" t="n">
        <v>86.90000000000001</v>
      </c>
      <c r="F28" s="39" t="n">
        <v>86.90000000000001</v>
      </c>
      <c r="G28" s="39" t="n">
        <v>86.90000000000001</v>
      </c>
    </row>
    <row r="29">
      <c r="B29" s="4" t="inlineStr">
        <is>
          <t>— SUMMARY —</t>
        </is>
      </c>
      <c r="C29" s="5" t="n"/>
      <c r="D29" s="5" t="n"/>
      <c r="E29" s="5" t="n"/>
      <c r="F29" s="5" t="n"/>
      <c r="G29" s="6" t="n"/>
    </row>
    <row r="30">
      <c r="B30" s="14" t="inlineStr">
        <is>
          <t>Total Debt (Opening)</t>
        </is>
      </c>
      <c r="C30" s="25" t="n">
        <v>492.6</v>
      </c>
      <c r="D30" s="25" t="n">
        <v>446.4</v>
      </c>
      <c r="E30" s="25" t="n">
        <v>390.9</v>
      </c>
      <c r="F30" s="25" t="n">
        <v>325.1</v>
      </c>
      <c r="G30" s="25" t="n">
        <v>247.9</v>
      </c>
    </row>
    <row r="31">
      <c r="B31" s="40" t="inlineStr">
        <is>
          <t>Total Cash Interest</t>
        </is>
      </c>
      <c r="C31" s="41" t="n">
        <v>46.4</v>
      </c>
      <c r="D31" s="41" t="n">
        <v>42.4</v>
      </c>
      <c r="E31" s="41" t="n">
        <v>37.5</v>
      </c>
      <c r="F31" s="41" t="n">
        <v>31.7</v>
      </c>
      <c r="G31" s="41" t="n">
        <v>25</v>
      </c>
    </row>
    <row r="32">
      <c r="B32" s="42" t="inlineStr">
        <is>
          <t>Total FCF Sweep</t>
        </is>
      </c>
      <c r="C32" s="28" t="n">
        <v>46.2</v>
      </c>
      <c r="D32" s="28" t="n">
        <v>55.5</v>
      </c>
      <c r="E32" s="28" t="n">
        <v>65.8</v>
      </c>
      <c r="F32" s="28" t="n">
        <v>77.2</v>
      </c>
      <c r="G32" s="28" t="n">
        <v>89.7</v>
      </c>
    </row>
    <row r="33">
      <c r="B33" s="30" t="inlineStr">
        <is>
          <t>Total Debt (Closing)</t>
        </is>
      </c>
      <c r="C33" s="31" t="n">
        <v>446.4</v>
      </c>
      <c r="D33" s="31" t="n">
        <v>390.9</v>
      </c>
      <c r="E33" s="31" t="n">
        <v>325.1</v>
      </c>
      <c r="F33" s="31" t="n">
        <v>247.9</v>
      </c>
      <c r="G33" s="31" t="n">
        <v>158.2</v>
      </c>
    </row>
  </sheetData>
  <mergeCells count="13">
    <mergeCell ref="B24:G24"/>
    <mergeCell ref="B19:G19"/>
    <mergeCell ref="B3:D3"/>
    <mergeCell ref="B10:G10"/>
    <mergeCell ref="B17:H17"/>
    <mergeCell ref="D12:G12"/>
    <mergeCell ref="B1:G1"/>
    <mergeCell ref="D15:G15"/>
    <mergeCell ref="D11:G11"/>
    <mergeCell ref="E3:G3"/>
    <mergeCell ref="D13:G13"/>
    <mergeCell ref="B29:G29"/>
    <mergeCell ref="D14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>
      <c r="B1" s="17" t="inlineStr">
        <is>
          <t>INVESTOR RETURNS — IRR, MOIC &amp; RETURN DECOMPOSITION</t>
        </is>
      </c>
      <c r="C1" s="5" t="n"/>
      <c r="D1" s="5" t="n"/>
      <c r="E1" s="5" t="n"/>
      <c r="F1" s="5" t="n"/>
      <c r="G1" s="5" t="n"/>
      <c r="H1" s="6" t="n"/>
    </row>
    <row r="3">
      <c r="B3" s="4" t="inlineStr">
        <is>
          <t>RETURN SUMMARY</t>
        </is>
      </c>
      <c r="C3" s="5" t="n"/>
      <c r="D3" s="5" t="n"/>
      <c r="E3" s="5" t="n"/>
      <c r="F3" s="5" t="n"/>
      <c r="G3" s="5" t="n"/>
      <c r="H3" s="6" t="n"/>
    </row>
    <row r="4">
      <c r="B4" s="13" t="inlineStr">
        <is>
          <t>Metric</t>
        </is>
      </c>
      <c r="C4" s="13" t="inlineStr">
        <is>
          <t>Base Case</t>
        </is>
      </c>
      <c r="D4" s="13" t="inlineStr">
        <is>
          <t>Management Case</t>
        </is>
      </c>
      <c r="E4" s="13" t="inlineStr">
        <is>
          <t>PE Target</t>
        </is>
      </c>
    </row>
    <row r="5">
      <c r="B5" s="14" t="inlineStr">
        <is>
          <t>Entry EV (£m)</t>
        </is>
      </c>
      <c r="C5" s="29" t="inlineStr">
        <is>
          <t>£1,043.1m</t>
        </is>
      </c>
      <c r="D5" s="29" t="inlineStr">
        <is>
          <t>£1,043.1m</t>
        </is>
      </c>
      <c r="E5" s="29" t="inlineStr">
        <is>
          <t>—</t>
        </is>
      </c>
    </row>
    <row r="6">
      <c r="B6" s="14" t="inlineStr">
        <is>
          <t>PE Equity Invested (£m)</t>
        </is>
      </c>
      <c r="C6" s="29" t="inlineStr">
        <is>
          <t>£581.3m</t>
        </is>
      </c>
      <c r="D6" s="29" t="inlineStr">
        <is>
          <t>£581.3m</t>
        </is>
      </c>
      <c r="E6" s="29" t="inlineStr">
        <is>
          <t>—</t>
        </is>
      </c>
    </row>
    <row r="7">
      <c r="B7" s="14" t="inlineStr">
        <is>
          <t>Year 5 EBITDA (£m)</t>
        </is>
      </c>
      <c r="C7" s="29" t="inlineStr">
        <is>
          <t>£160.2m</t>
        </is>
      </c>
      <c r="D7" s="29" t="inlineStr">
        <is>
          <t>£198.7m</t>
        </is>
      </c>
      <c r="E7" s="29" t="inlineStr">
        <is>
          <t>—</t>
        </is>
      </c>
    </row>
    <row r="8">
      <c r="B8" s="14" t="inlineStr">
        <is>
          <t>Exit EV/EBITDA</t>
        </is>
      </c>
      <c r="C8" s="29" t="inlineStr">
        <is>
          <t>9.5x</t>
        </is>
      </c>
      <c r="D8" s="29" t="inlineStr">
        <is>
          <t>10.5x</t>
        </is>
      </c>
      <c r="E8" s="29" t="inlineStr">
        <is>
          <t>—</t>
        </is>
      </c>
    </row>
    <row r="9">
      <c r="B9" s="14" t="inlineStr">
        <is>
          <t>Exit EV (£m)</t>
        </is>
      </c>
      <c r="C9" s="29" t="inlineStr">
        <is>
          <t>£1,521.9m</t>
        </is>
      </c>
      <c r="D9" s="29" t="inlineStr">
        <is>
          <t>£2,086.3m</t>
        </is>
      </c>
      <c r="E9" s="29" t="inlineStr">
        <is>
          <t>—</t>
        </is>
      </c>
    </row>
    <row r="10">
      <c r="B10" s="14" t="inlineStr">
        <is>
          <t>Exit Debt (£m)</t>
        </is>
      </c>
      <c r="C10" s="29" t="inlineStr">
        <is>
          <t>£158.2m</t>
        </is>
      </c>
      <c r="D10" s="29" t="inlineStr">
        <is>
          <t>£72.5m</t>
        </is>
      </c>
      <c r="E10" s="29" t="inlineStr">
        <is>
          <t>—</t>
        </is>
      </c>
    </row>
    <row r="11">
      <c r="B11" s="14" t="inlineStr">
        <is>
          <t>Exit Equity (£m)</t>
        </is>
      </c>
      <c r="C11" s="29" t="inlineStr">
        <is>
          <t>£1,363.7m</t>
        </is>
      </c>
      <c r="D11" s="29" t="inlineStr">
        <is>
          <t>£2,013.8m</t>
        </is>
      </c>
      <c r="E11" s="29" t="inlineStr">
        <is>
          <t>—</t>
        </is>
      </c>
    </row>
    <row r="12">
      <c r="B12" s="30" t="inlineStr">
        <is>
          <t>MOIC</t>
        </is>
      </c>
      <c r="C12" s="8" t="inlineStr">
        <is>
          <t>2.35x</t>
        </is>
      </c>
      <c r="D12" s="8" t="inlineStr">
        <is>
          <t>3.46x</t>
        </is>
      </c>
      <c r="E12" s="15" t="inlineStr">
        <is>
          <t>2.5–3.0x</t>
        </is>
      </c>
    </row>
    <row r="13">
      <c r="B13" s="30" t="inlineStr">
        <is>
          <t>IRR</t>
        </is>
      </c>
      <c r="C13" s="8" t="inlineStr">
        <is>
          <t>18.6%</t>
        </is>
      </c>
      <c r="D13" s="8" t="inlineStr">
        <is>
          <t>28.2%</t>
        </is>
      </c>
      <c r="E13" s="15" t="inlineStr">
        <is>
          <t>20–25%</t>
        </is>
      </c>
    </row>
    <row r="16">
      <c r="B16" s="4" t="inlineStr">
        <is>
          <t>RETURN DECOMPOSITION — BASE CASE (Waterfall Bridge)</t>
        </is>
      </c>
      <c r="C16" s="5" t="n"/>
      <c r="D16" s="5" t="n"/>
      <c r="E16" s="5" t="n"/>
      <c r="F16" s="5" t="n"/>
      <c r="G16" s="5" t="n"/>
      <c r="H16" s="6" t="n"/>
    </row>
    <row r="17">
      <c r="B17" s="13" t="inlineStr">
        <is>
          <t>Driver</t>
        </is>
      </c>
      <c r="C17" s="13" t="inlineStr">
        <is>
          <t>Value (£m)</t>
        </is>
      </c>
      <c r="D17" s="13" t="inlineStr">
        <is>
          <t>% of Equity Gain</t>
        </is>
      </c>
      <c r="E17" s="13" t="inlineStr">
        <is>
          <t>Explanation</t>
        </is>
      </c>
    </row>
    <row r="18">
      <c r="B18" s="30" t="inlineStr">
        <is>
          <t>Entry Equity Invested</t>
        </is>
      </c>
      <c r="C18" s="31" t="n">
        <v>581.3</v>
      </c>
      <c r="D18" s="8" t="inlineStr">
        <is>
          <t>—</t>
        </is>
      </c>
      <c r="E18" s="43" t="inlineStr">
        <is>
          <t>Initial PE equity at close</t>
        </is>
      </c>
    </row>
    <row r="19">
      <c r="B19" s="37" t="inlineStr">
        <is>
          <t>① EBITDA Growth</t>
        </is>
      </c>
      <c r="C19" s="38" t="n">
        <v>222.2</v>
      </c>
      <c r="D19" s="44" t="inlineStr">
        <is>
          <t>28%</t>
        </is>
      </c>
      <c r="E19" s="43" t="inlineStr">
        <is>
          <t>Value from growing EBITDA (held at entry multiple)</t>
        </is>
      </c>
    </row>
    <row r="20">
      <c r="B20" s="37" t="inlineStr">
        <is>
          <t>② Multiple Expansion</t>
        </is>
      </c>
      <c r="C20" s="38" t="n">
        <v>44.6</v>
      </c>
      <c r="D20" s="44" t="inlineStr">
        <is>
          <t>6%</t>
        </is>
      </c>
      <c r="E20" s="43" t="inlineStr">
        <is>
          <t>Re-rating from 9.0x to 9.5x EV/EBITDA</t>
        </is>
      </c>
    </row>
    <row r="21">
      <c r="B21" s="37" t="inlineStr">
        <is>
          <t>③ Debt Paydown</t>
        </is>
      </c>
      <c r="C21" s="38" t="n">
        <v>334.4</v>
      </c>
      <c r="D21" s="44" t="inlineStr">
        <is>
          <t>43%</t>
        </is>
      </c>
      <c r="E21" s="43" t="inlineStr">
        <is>
          <t>£493m → £158m debt (MM leverage effect)</t>
        </is>
      </c>
    </row>
    <row r="22">
      <c r="B22" s="30" t="inlineStr">
        <is>
          <t>Exit Equity</t>
        </is>
      </c>
      <c r="C22" s="31" t="n">
        <v>1363.7</v>
      </c>
      <c r="D22" s="8" t="inlineStr">
        <is>
          <t>—</t>
        </is>
      </c>
      <c r="E22" s="43" t="inlineStr">
        <is>
          <t>MOIC: 2.35x  |  IRR: 18.6%</t>
        </is>
      </c>
    </row>
    <row r="25">
      <c r="B25" s="4" t="inlineStr">
        <is>
          <t>SENSITIVITY ANALYSIS — BASE CASE IRR (%) vs Entry &amp; Exit EV/EBITDA Multiples</t>
        </is>
      </c>
      <c r="C25" s="5" t="n"/>
      <c r="D25" s="5" t="n"/>
      <c r="E25" s="5" t="n"/>
      <c r="F25" s="5" t="n"/>
      <c r="G25" s="5" t="n"/>
      <c r="H25" s="5" t="n"/>
      <c r="I25" s="6" t="n"/>
    </row>
    <row r="26">
      <c r="B26" s="34" t="inlineStr">
        <is>
          <t>Entry ↓  /  Exit →</t>
        </is>
      </c>
      <c r="C26" s="34" t="inlineStr">
        <is>
          <t>7.5x</t>
        </is>
      </c>
      <c r="D26" s="34" t="inlineStr">
        <is>
          <t>8.5x</t>
        </is>
      </c>
      <c r="E26" s="34" t="inlineStr">
        <is>
          <t>9.5x</t>
        </is>
      </c>
      <c r="F26" s="34" t="inlineStr">
        <is>
          <t>10.5x</t>
        </is>
      </c>
      <c r="G26" s="34" t="inlineStr">
        <is>
          <t>11.5x</t>
        </is>
      </c>
      <c r="H26" s="34" t="inlineStr">
        <is>
          <t>12.5x</t>
        </is>
      </c>
    </row>
    <row r="27">
      <c r="B27" s="13" t="inlineStr">
        <is>
          <t>7.0x</t>
        </is>
      </c>
      <c r="C27" s="44" t="inlineStr">
        <is>
          <t>24.8%</t>
        </is>
      </c>
      <c r="D27" s="44" t="inlineStr">
        <is>
          <t>28.4%</t>
        </is>
      </c>
      <c r="E27" s="44" t="inlineStr">
        <is>
          <t>31.7%</t>
        </is>
      </c>
      <c r="F27" s="44" t="inlineStr">
        <is>
          <t>34.6%</t>
        </is>
      </c>
      <c r="G27" s="44" t="inlineStr">
        <is>
          <t>37.3%</t>
        </is>
      </c>
      <c r="H27" s="44" t="inlineStr">
        <is>
          <t>39.8%</t>
        </is>
      </c>
    </row>
    <row r="28">
      <c r="B28" s="13" t="inlineStr">
        <is>
          <t>8.0x</t>
        </is>
      </c>
      <c r="C28" s="32" t="inlineStr">
        <is>
          <t>17.6%</t>
        </is>
      </c>
      <c r="D28" s="44" t="inlineStr">
        <is>
          <t>21.1%</t>
        </is>
      </c>
      <c r="E28" s="44" t="inlineStr">
        <is>
          <t>24.1%</t>
        </is>
      </c>
      <c r="F28" s="44" t="inlineStr">
        <is>
          <t>26.9%</t>
        </is>
      </c>
      <c r="G28" s="44" t="inlineStr">
        <is>
          <t>29.5%</t>
        </is>
      </c>
      <c r="H28" s="44" t="inlineStr">
        <is>
          <t>31.8%</t>
        </is>
      </c>
    </row>
    <row r="29">
      <c r="B29" s="13" t="inlineStr">
        <is>
          <t>9.0x</t>
        </is>
      </c>
      <c r="C29" s="29" t="inlineStr">
        <is>
          <t>12.4%</t>
        </is>
      </c>
      <c r="D29" s="32" t="inlineStr">
        <is>
          <t>15.7%</t>
        </is>
      </c>
      <c r="E29" s="8" t="inlineStr">
        <is>
          <t>18.6%</t>
        </is>
      </c>
      <c r="F29" s="44" t="inlineStr">
        <is>
          <t>21.3%</t>
        </is>
      </c>
      <c r="G29" s="44" t="inlineStr">
        <is>
          <t>23.7%</t>
        </is>
      </c>
      <c r="H29" s="44" t="inlineStr">
        <is>
          <t>26.0%</t>
        </is>
      </c>
    </row>
    <row r="30">
      <c r="B30" s="13" t="inlineStr">
        <is>
          <t>10.0x</t>
        </is>
      </c>
      <c r="C30" s="29" t="inlineStr">
        <is>
          <t>8.3%</t>
        </is>
      </c>
      <c r="D30" s="29" t="inlineStr">
        <is>
          <t>11.5%</t>
        </is>
      </c>
      <c r="E30" s="29" t="inlineStr">
        <is>
          <t>14.3%</t>
        </is>
      </c>
      <c r="F30" s="32" t="inlineStr">
        <is>
          <t>16.9%</t>
        </is>
      </c>
      <c r="G30" s="32" t="inlineStr">
        <is>
          <t>19.2%</t>
        </is>
      </c>
      <c r="H30" s="44" t="inlineStr">
        <is>
          <t>21.4%</t>
        </is>
      </c>
    </row>
    <row r="31">
      <c r="B31" s="13" t="inlineStr">
        <is>
          <t>11.0x</t>
        </is>
      </c>
      <c r="C31" s="29" t="inlineStr">
        <is>
          <t>5.0%</t>
        </is>
      </c>
      <c r="D31" s="29" t="inlineStr">
        <is>
          <t>8.0%</t>
        </is>
      </c>
      <c r="E31" s="29" t="inlineStr">
        <is>
          <t>10.8%</t>
        </is>
      </c>
      <c r="F31" s="29" t="inlineStr">
        <is>
          <t>13.3%</t>
        </is>
      </c>
      <c r="G31" s="32" t="inlineStr">
        <is>
          <t>15.5%</t>
        </is>
      </c>
      <c r="H31" s="32" t="inlineStr">
        <is>
          <t>17.7%</t>
        </is>
      </c>
    </row>
    <row r="32">
      <c r="B32" s="45" t="inlineStr">
        <is>
          <t>Green = IRR ≥ 20% (meets PE hurdle) | Blue = 15-20% | Yellow = Base case | Note: assumes Base Case operating model throughout</t>
        </is>
      </c>
    </row>
  </sheetData>
  <mergeCells count="10">
    <mergeCell ref="B32:H32"/>
    <mergeCell ref="E18:H18"/>
    <mergeCell ref="B1:H1"/>
    <mergeCell ref="B25:I25"/>
    <mergeCell ref="E20:H20"/>
    <mergeCell ref="E21:H21"/>
    <mergeCell ref="B16:H16"/>
    <mergeCell ref="E19:H19"/>
    <mergeCell ref="B3:H3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2026-06-17T14:28:45Z</dcterms:created>
  <dcterms:modified xmlns:dcterms="http://purl.org/dc/terms/" xmlns:xsi="http://www.w3.org/2001/XMLSchema-instance" xsi:type="dcterms:W3CDTF">2026-06-17T14:28:45Z</dcterms:modified>
</cp:coreProperties>
</file>